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moni\OneDrive\Documents\Bookkeeping_Project\"/>
    </mc:Choice>
  </mc:AlternateContent>
  <xr:revisionPtr revIDLastSave="0" documentId="8_{D510B947-0A6C-4DDD-A329-549DD5B080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  <sheet name="Dashboard" sheetId="2" r:id="rId2"/>
    <sheet name="Transaction Summary" sheetId="4" r:id="rId3"/>
  </sheets>
  <definedNames>
    <definedName name="_xlcn.WorksheetConnection_TransactionsCE" hidden="1">Transactions!$C:$E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ransactions!$C:$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75E4E-7B8A-459C-B585-B095E5366DB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AB284BD-8FAF-40E9-BE3F-894CF8D86D74}" name="WorksheetConnection_Transactions!$C:$E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CE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<sst xmlns="http://schemas.openxmlformats.org/spreadsheetml/2006/main" count="148" uniqueCount="50">
  <si>
    <t>Date</t>
  </si>
  <si>
    <t>Description</t>
  </si>
  <si>
    <t>Category</t>
  </si>
  <si>
    <t>Type</t>
  </si>
  <si>
    <t>Amount</t>
  </si>
  <si>
    <t>4/1</t>
  </si>
  <si>
    <t>Client Payment</t>
  </si>
  <si>
    <t>Revenue</t>
  </si>
  <si>
    <t>Income</t>
  </si>
  <si>
    <t>4/2</t>
  </si>
  <si>
    <t>Cleaning Supplies</t>
  </si>
  <si>
    <t>Supplies</t>
  </si>
  <si>
    <t>Expense</t>
  </si>
  <si>
    <t>4/3</t>
  </si>
  <si>
    <t>Gas</t>
  </si>
  <si>
    <t>Transportation</t>
  </si>
  <si>
    <t>4/4</t>
  </si>
  <si>
    <t>4/5</t>
  </si>
  <si>
    <t>Facebook Ads</t>
  </si>
  <si>
    <t>Marketing</t>
  </si>
  <si>
    <t>4/6</t>
  </si>
  <si>
    <t>4/7</t>
  </si>
  <si>
    <t>Equipment Purchase</t>
  </si>
  <si>
    <t>4/8</t>
  </si>
  <si>
    <t>4/9</t>
  </si>
  <si>
    <t>Phone Bill</t>
  </si>
  <si>
    <t>Utilities</t>
  </si>
  <si>
    <t>4/10</t>
  </si>
  <si>
    <t>4/11</t>
  </si>
  <si>
    <t>Website Subscription</t>
  </si>
  <si>
    <t>Software</t>
  </si>
  <si>
    <t>4/12</t>
  </si>
  <si>
    <t>4/13</t>
  </si>
  <si>
    <t>4/14</t>
  </si>
  <si>
    <t>4/15</t>
  </si>
  <si>
    <t>4/16</t>
  </si>
  <si>
    <t>4/17</t>
  </si>
  <si>
    <t>Instagram Ads</t>
  </si>
  <si>
    <t>4/18</t>
  </si>
  <si>
    <t>4/19</t>
  </si>
  <si>
    <t>Equipment Repair</t>
  </si>
  <si>
    <t>4/20</t>
  </si>
  <si>
    <t>Total Revenue</t>
  </si>
  <si>
    <t>Total Expenses</t>
  </si>
  <si>
    <t xml:space="preserve">Profit </t>
  </si>
  <si>
    <t>Row Labels</t>
  </si>
  <si>
    <t>Grand Total</t>
  </si>
  <si>
    <t>Sum of Amount</t>
  </si>
  <si>
    <t xml:space="preserve"> </t>
  </si>
  <si>
    <t>📋 Transaction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</si>
</sst>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LilyUPC"/>
      <family val="2"/>
      <charset val="222"/>
    </font>
    <font>
      <b/>
      <sz val="14"/>
      <color rgb="FF2F5496"/>
      <name val="Calibri"/>
      <family val="2"/>
      <scheme val="minor"/>
    </font>
    <font>
      <b/>
      <sz val="16"/>
      <color rgb="FFFFFFFF"/>
      <name val="Bahnschrift SemiLight"/>
      <family val="2"/>
    </font>
    <font>
      <sz val="16"/>
      <color theme="1"/>
      <name val="Bahnschrift Semi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2F549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4" borderId="1" xfId="0" applyFont="1" applyFill="1" applyBorder="1" applyAlignment="1">
      <alignment horizontal="left"/>
    </xf>
    <xf numFmtId="165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65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SemiLight"/>
        <family val="2"/>
        <scheme val="none"/>
      </font>
      <numFmt numFmtId="164" formatCode="&quot;$&quot;#,##0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Semi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Semi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SemiLight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SemiLight"/>
        <family val="2"/>
        <scheme val="none"/>
      </font>
      <numFmt numFmtId="165" formatCode="m/d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16"/>
        <name val="Bahnschrift SemiLight"/>
        <family val="2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rgb="FF2F549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Bahnschrift SemiLight"/>
        <family val="2"/>
        <scheme val="none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BC5"/>
      <color rgb="FFFBD1D1"/>
      <color rgb="FFF7CAB3"/>
      <color rgb="FF8000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[bookkeeping_pro.xlsx]Transactions!PivotTable4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rgbClr val="7B2D8E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2">
                    <a:lumMod val="50000"/>
                  </a:schemeClr>
                </a:solidFill>
              </a:rPr>
              <a:t>📊 Expenses by Category</a:t>
            </a:r>
          </a:p>
        </c:rich>
      </c:tx>
      <c:layout>
        <c:manualLayout>
          <c:xMode val="edge"/>
          <c:yMode val="edge"/>
          <c:x val="2.7716895867387341E-4"/>
          <c:y val="1.3196698482770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rgbClr val="7B2D8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solidFill>
              <a:srgbClr val="4472C4"/>
            </a:solidFill>
            <a:prstDash val="solid"/>
          </a:ln>
          <a:effectLst/>
        </c:spPr>
      </c:pivotFmt>
      <c:pivotFmt>
        <c:idx val="5"/>
        <c:spPr>
          <a:solidFill>
            <a:schemeClr val="accent6"/>
          </a:solidFill>
          <a:ln>
            <a:solidFill>
              <a:srgbClr val="4472C4"/>
            </a:solidFill>
            <a:prstDash val="solid"/>
          </a:ln>
          <a:effectLst/>
        </c:spPr>
      </c:pivotFmt>
      <c:pivotFmt>
        <c:idx val="6"/>
        <c:spPr>
          <a:solidFill>
            <a:schemeClr val="accent6"/>
          </a:solidFill>
          <a:ln>
            <a:solidFill>
              <a:srgbClr val="4472C4"/>
            </a:solidFill>
            <a:prstDash val="solid"/>
          </a:ln>
          <a:effectLst/>
        </c:spPr>
      </c:pivotFmt>
      <c:pivotFmt>
        <c:idx val="7"/>
        <c:spPr>
          <a:solidFill>
            <a:schemeClr val="accent6"/>
          </a:solidFill>
          <a:ln>
            <a:solidFill>
              <a:srgbClr val="4472C4"/>
            </a:solidFill>
            <a:prstDash val="solid"/>
          </a:ln>
          <a:effectLst/>
        </c:spPr>
      </c:pivotFmt>
      <c:pivotFmt>
        <c:idx val="8"/>
        <c:spPr>
          <a:solidFill>
            <a:schemeClr val="accent6"/>
          </a:solidFill>
          <a:ln>
            <a:solidFill>
              <a:srgbClr val="4472C4"/>
            </a:solidFill>
            <a:prstDash val="solid"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116358697815983E-2"/>
          <c:y val="0.19888362417658614"/>
          <c:w val="0.8901968503937007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Transactions!$K$10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Transactions!$J$11:$J$16</c:f>
              <c:strCache>
                <c:ptCount val="5"/>
                <c:pt idx="0">
                  <c:v>Marketing</c:v>
                </c:pt>
                <c:pt idx="1">
                  <c:v>Software</c:v>
                </c:pt>
                <c:pt idx="2">
                  <c:v>Supplies</c:v>
                </c:pt>
                <c:pt idx="3">
                  <c:v>Transportation</c:v>
                </c:pt>
                <c:pt idx="4">
                  <c:v>Utilities</c:v>
                </c:pt>
              </c:strCache>
            </c:strRef>
          </c:cat>
          <c:val>
            <c:numRef>
              <c:f>Transactions!$K$11:$K$16</c:f>
              <c:numCache>
                <c:formatCode>General</c:formatCode>
                <c:ptCount val="5"/>
                <c:pt idx="0">
                  <c:v>280</c:v>
                </c:pt>
                <c:pt idx="1">
                  <c:v>40</c:v>
                </c:pt>
                <c:pt idx="2">
                  <c:v>710</c:v>
                </c:pt>
                <c:pt idx="3">
                  <c:v>130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8-4A86-B8D0-032D5FAE39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4"/>
        <c:overlap val="-100"/>
        <c:axId val="1152066336"/>
        <c:axId val="1152067296"/>
      </c:barChart>
      <c:catAx>
        <c:axId val="11520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67296"/>
        <c:crosses val="autoZero"/>
        <c:auto val="1"/>
        <c:lblAlgn val="ctr"/>
        <c:lblOffset val="100"/>
        <c:noMultiLvlLbl val="0"/>
      </c:catAx>
      <c:valAx>
        <c:axId val="1152067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2066336"/>
        <c:crosses val="autoZero"/>
        <c:crossBetween val="between"/>
      </c:valAx>
      <c:spPr>
        <a:solidFill>
          <a:srgbClr val="FFFFFF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[bookkeeping_pro.xlsx]Transactions!PivotTable5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cap="all" spc="120" normalizeH="0" baseline="0">
                <a:solidFill>
                  <a:srgbClr val="7B2D8E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2">
                    <a:lumMod val="50000"/>
                  </a:schemeClr>
                </a:solidFill>
              </a:rPr>
              <a:t>📈 Revenue Trend</a:t>
            </a:r>
          </a:p>
        </c:rich>
      </c:tx>
      <c:layout>
        <c:manualLayout>
          <c:xMode val="edge"/>
          <c:yMode val="edge"/>
          <c:x val="5.5868627438246717E-3"/>
          <c:y val="3.3034620836695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cap="all" spc="120" normalizeH="0" baseline="0">
              <a:solidFill>
                <a:srgbClr val="7B2D8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-8.2156521739130434E-2"/>
              <c:y val="-7.59305531061269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-5.6554353395698526E-3"/>
              <c:y val="-9.07351940189163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Transactions!$H$21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Pt>
            <c:idx val="0"/>
            <c:marker>
              <c:symbol val="circle"/>
              <c:size val="5"/>
              <c:spPr>
                <a:gradFill rotWithShape="1">
                  <a:gsLst>
                    <a:gs pos="0">
                      <a:schemeClr val="accent4">
                        <a:shade val="51000"/>
                        <a:satMod val="130000"/>
                      </a:schemeClr>
                    </a:gs>
                    <a:gs pos="80000">
                      <a:schemeClr val="accent4"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451-40B6-816A-7F62D965F574}"/>
              </c:ext>
            </c:extLst>
          </c:dPt>
          <c:dPt>
            <c:idx val="2"/>
            <c:marker>
              <c:symbol val="circle"/>
              <c:size val="5"/>
              <c:spPr>
                <a:gradFill rotWithShape="1">
                  <a:gsLst>
                    <a:gs pos="0">
                      <a:schemeClr val="accent4">
                        <a:shade val="51000"/>
                        <a:satMod val="130000"/>
                      </a:schemeClr>
                    </a:gs>
                    <a:gs pos="80000">
                      <a:schemeClr val="accent4"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51-40B6-816A-7F62D965F574}"/>
              </c:ext>
            </c:extLst>
          </c:dPt>
          <c:dLbls>
            <c:dLbl>
              <c:idx val="0"/>
              <c:layout>
                <c:manualLayout>
                  <c:x val="-5.6554353395698526E-3"/>
                  <c:y val="-9.0735194018916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51-40B6-816A-7F62D965F574}"/>
                </c:ext>
              </c:extLst>
            </c:dLbl>
            <c:dLbl>
              <c:idx val="2"/>
              <c:layout>
                <c:manualLayout>
                  <c:x val="-8.2156521739130434E-2"/>
                  <c:y val="-7.5930553106126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1-40B6-816A-7F62D965F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Transactions!$G$22:$G$32</c:f>
              <c:strCache>
                <c:ptCount val="10"/>
                <c:pt idx="0">
                  <c:v>4/1</c:v>
                </c:pt>
                <c:pt idx="1">
                  <c:v>4/10</c:v>
                </c:pt>
                <c:pt idx="2">
                  <c:v>4/12</c:v>
                </c:pt>
                <c:pt idx="3">
                  <c:v>4/14</c:v>
                </c:pt>
                <c:pt idx="4">
                  <c:v>4/16</c:v>
                </c:pt>
                <c:pt idx="5">
                  <c:v>4/18</c:v>
                </c:pt>
                <c:pt idx="6">
                  <c:v>4/20</c:v>
                </c:pt>
                <c:pt idx="7">
                  <c:v>4/4</c:v>
                </c:pt>
                <c:pt idx="8">
                  <c:v>4/6</c:v>
                </c:pt>
                <c:pt idx="9">
                  <c:v>4/8</c:v>
                </c:pt>
              </c:strCache>
            </c:strRef>
          </c:cat>
          <c:val>
            <c:numRef>
              <c:f>Transactions!$H$22:$H$32</c:f>
              <c:numCache>
                <c:formatCode>General</c:formatCode>
                <c:ptCount val="10"/>
                <c:pt idx="0">
                  <c:v>800</c:v>
                </c:pt>
                <c:pt idx="1">
                  <c:v>500</c:v>
                </c:pt>
                <c:pt idx="2">
                  <c:v>1100</c:v>
                </c:pt>
                <c:pt idx="3">
                  <c:v>750</c:v>
                </c:pt>
                <c:pt idx="4">
                  <c:v>850</c:v>
                </c:pt>
                <c:pt idx="5">
                  <c:v>920</c:v>
                </c:pt>
                <c:pt idx="6">
                  <c:v>670</c:v>
                </c:pt>
                <c:pt idx="7">
                  <c:v>600</c:v>
                </c:pt>
                <c:pt idx="8">
                  <c:v>950</c:v>
                </c:pt>
                <c:pt idx="9">
                  <c:v>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AC-4463-ACB7-92446731C3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3735280"/>
        <c:axId val="1163736240"/>
      </c:lineChart>
      <c:dateAx>
        <c:axId val="1163735280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50000"/>
                  <a:lumOff val="50000"/>
                  <a:alpha val="5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36240"/>
        <c:crosses val="autoZero"/>
        <c:auto val="0"/>
        <c:lblOffset val="100"/>
        <c:baseTimeUnit val="days"/>
      </c:dateAx>
      <c:valAx>
        <c:axId val="1163736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3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6458" y="0"/>
    <xdr:ext cx="18537115" cy="1188720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9EC8DA6-FCCF-B90C-EF66-81D4DB146EBF}"/>
            </a:ext>
          </a:extLst>
        </xdr:cNvPr>
        <xdr:cNvSpPr>
          <a:spLocks noChangeAspect="1"/>
        </xdr:cNvSpPr>
      </xdr:nvSpPr>
      <xdr:spPr>
        <a:xfrm>
          <a:off x="26458" y="0"/>
          <a:ext cx="18537115" cy="11887200"/>
        </a:xfrm>
        <a:prstGeom prst="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absoluteAnchor>
  <xdr:twoCellAnchor>
    <xdr:from>
      <xdr:col>0</xdr:col>
      <xdr:colOff>243046</xdr:colOff>
      <xdr:row>20</xdr:row>
      <xdr:rowOff>141732</xdr:rowOff>
    </xdr:from>
    <xdr:to>
      <xdr:col>10</xdr:col>
      <xdr:colOff>820208</xdr:colOff>
      <xdr:row>35</xdr:row>
      <xdr:rowOff>52916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8ECFB018-0E20-4D35-A7CA-3FC352552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268654</xdr:colOff>
      <xdr:row>20</xdr:row>
      <xdr:rowOff>118946</xdr:rowOff>
    </xdr:from>
    <xdr:to>
      <xdr:col>21</xdr:col>
      <xdr:colOff>622467</xdr:colOff>
      <xdr:row>35</xdr:row>
      <xdr:rowOff>26458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9983C134-82F6-45AF-BDF0-3DDC00E59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206165</xdr:colOff>
      <xdr:row>36</xdr:row>
      <xdr:rowOff>165365</xdr:rowOff>
    </xdr:from>
    <xdr:to>
      <xdr:col>8</xdr:col>
      <xdr:colOff>132580</xdr:colOff>
      <xdr:row>64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A4CB644-608D-3062-3FAF-97B8254929E4}"/>
            </a:ext>
          </a:extLst>
        </xdr:cNvPr>
        <xdr:cNvSpPr/>
      </xdr:nvSpPr>
      <xdr:spPr>
        <a:xfrm>
          <a:off x="206165" y="6832865"/>
          <a:ext cx="6117665" cy="5020468"/>
        </a:xfrm>
        <a:prstGeom prst="rect">
          <a:avLst/>
        </a:prstGeom>
        <a:solidFill>
          <a:srgbClr val="FFFBC5"/>
        </a:solidFill>
        <a:effectLst>
          <a:outerShdw blurRad="50800" dist="127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200000"/>
            </a:lnSpc>
          </a:pPr>
          <a:r>
            <a:rPr lang="en-US" sz="3200" b="1">
              <a:solidFill>
                <a:schemeClr val="tx2">
                  <a:lumMod val="75000"/>
                  <a:lumOff val="25000"/>
                </a:schemeClr>
              </a:solidFill>
              <a:latin typeface="+mn-lt"/>
            </a:rPr>
            <a:t>Key Insights </a:t>
          </a:r>
        </a:p>
        <a:p>
          <a:pPr marL="171450" indent="-171450" algn="l">
            <a:lnSpc>
              <a:spcPct val="150000"/>
            </a:lnSpc>
            <a:buFont typeface="Wingdings" panose="05000000000000000000" pitchFamily="2" charset="2"/>
            <a:buChar char="ü"/>
          </a:pPr>
          <a:r>
            <a:rPr lang="en-US" sz="1950">
              <a:solidFill>
                <a:schemeClr val="tx2">
                  <a:lumMod val="75000"/>
                  <a:lumOff val="25000"/>
                </a:schemeClr>
              </a:solidFill>
              <a:latin typeface="+mn-lt"/>
            </a:rPr>
            <a:t> Revenue remained consistent with noticeable peaks mid-month </a:t>
          </a:r>
        </a:p>
        <a:p>
          <a:pPr marL="171450" indent="-171450" algn="l">
            <a:lnSpc>
              <a:spcPct val="200000"/>
            </a:lnSpc>
            <a:buFont typeface="Wingdings" panose="05000000000000000000" pitchFamily="2" charset="2"/>
            <a:buChar char="ü"/>
          </a:pPr>
          <a:r>
            <a:rPr lang="en-US" sz="1950">
              <a:solidFill>
                <a:schemeClr val="tx2">
                  <a:lumMod val="75000"/>
                  <a:lumOff val="25000"/>
                </a:schemeClr>
              </a:solidFill>
              <a:latin typeface="+mn-lt"/>
            </a:rPr>
            <a:t> Supplies are the highest cost driver, impacting profitability</a:t>
          </a:r>
        </a:p>
        <a:p>
          <a:pPr marL="171450" indent="-171450" algn="l">
            <a:lnSpc>
              <a:spcPct val="200000"/>
            </a:lnSpc>
            <a:buFont typeface="Wingdings" panose="05000000000000000000" pitchFamily="2" charset="2"/>
            <a:buChar char="ü"/>
          </a:pPr>
          <a:r>
            <a:rPr lang="en-US" sz="1950">
              <a:solidFill>
                <a:schemeClr val="tx2">
                  <a:lumMod val="75000"/>
                  <a:lumOff val="25000"/>
                </a:schemeClr>
              </a:solidFill>
              <a:latin typeface="+mn-lt"/>
            </a:rPr>
            <a:t> Marketing spend did not significantly increase revenue  </a:t>
          </a:r>
        </a:p>
        <a:p>
          <a:pPr marL="171450" indent="-171450" algn="l">
            <a:lnSpc>
              <a:spcPct val="200000"/>
            </a:lnSpc>
            <a:buFont typeface="Wingdings" panose="05000000000000000000" pitchFamily="2" charset="2"/>
            <a:buChar char="ü"/>
          </a:pPr>
          <a:r>
            <a:rPr kumimoji="0" lang="en-US" sz="1950" b="0" i="0" u="none" strike="noStrike" kern="0" cap="none" spc="0" normalizeH="0" baseline="0" noProof="0">
              <a:ln>
                <a:noFill/>
              </a:ln>
              <a:solidFill>
                <a:schemeClr val="tx2">
                  <a:lumMod val="75000"/>
                  <a:lumOff val="2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Business maintained strong positive profit throughout the period</a:t>
          </a:r>
          <a:endParaRPr lang="en-US" sz="1950">
            <a:solidFill>
              <a:schemeClr val="tx2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twoCellAnchor>
  <xdr:twoCellAnchor>
    <xdr:from>
      <xdr:col>3</xdr:col>
      <xdr:colOff>79380</xdr:colOff>
      <xdr:row>1</xdr:row>
      <xdr:rowOff>102608</xdr:rowOff>
    </xdr:from>
    <xdr:to>
      <xdr:col>20</xdr:col>
      <xdr:colOff>396875</xdr:colOff>
      <xdr:row>8</xdr:row>
      <xdr:rowOff>158749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F9AC6C3F-AFB5-44FB-8262-6B86FE51657E}"/>
            </a:ext>
          </a:extLst>
        </xdr:cNvPr>
        <xdr:cNvGrpSpPr/>
      </xdr:nvGrpSpPr>
      <xdr:grpSpPr>
        <a:xfrm>
          <a:off x="1905005" y="287816"/>
          <a:ext cx="15160620" cy="1352600"/>
          <a:chOff x="576279" y="261316"/>
          <a:chExt cx="3670770" cy="875834"/>
        </a:xfrm>
        <a:solidFill>
          <a:schemeClr val="accent3">
            <a:lumMod val="75000"/>
          </a:schemeClr>
        </a:solidFill>
      </xdr:grpSpPr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9F70DDEC-99E9-5465-6304-978A049819F7}"/>
              </a:ext>
            </a:extLst>
          </xdr:cNvPr>
          <xdr:cNvSpPr/>
        </xdr:nvSpPr>
        <xdr:spPr>
          <a:xfrm>
            <a:off x="576279" y="261316"/>
            <a:ext cx="3670770" cy="793449"/>
          </a:xfrm>
          <a:prstGeom prst="rect">
            <a:avLst/>
          </a:prstGeom>
          <a:grpFill/>
          <a:ln/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6600">
                <a:latin typeface="Bahnschrift" panose="020B0502040204020203" pitchFamily="34" charset="0"/>
              </a:rPr>
              <a:t>Financial</a:t>
            </a:r>
            <a:r>
              <a:rPr lang="en-US" sz="6600" baseline="0">
                <a:latin typeface="Bahnschrift" panose="020B0502040204020203" pitchFamily="34" charset="0"/>
              </a:rPr>
              <a:t> </a:t>
            </a:r>
            <a:r>
              <a:rPr lang="en-US" sz="6600">
                <a:latin typeface="Bahnschrift" panose="020B0502040204020203" pitchFamily="34" charset="0"/>
              </a:rPr>
              <a:t>Dashboard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8EA7EB09-5129-5EFD-C7EE-4CC77E633E69}"/>
              </a:ext>
            </a:extLst>
          </xdr:cNvPr>
          <xdr:cNvSpPr txBox="1"/>
        </xdr:nvSpPr>
        <xdr:spPr>
          <a:xfrm>
            <a:off x="1638349" y="795162"/>
            <a:ext cx="1604171" cy="34198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2400">
                <a:solidFill>
                  <a:schemeClr val="bg1"/>
                </a:solidFill>
                <a:latin typeface="Bahnschrift Condensed" panose="020B0502040204020203" pitchFamily="34" charset="0"/>
                <a:cs typeface="Browallia New" panose="020B0502040204020203" pitchFamily="34" charset="-34"/>
              </a:rPr>
              <a:t>Income &amp; Expense Analysis – April 2026</a:t>
            </a:r>
          </a:p>
        </xdr:txBody>
      </xdr:sp>
    </xdr:grpSp>
    <xdr:clientData/>
  </xdr:twoCellAnchor>
  <xdr:twoCellAnchor>
    <xdr:from>
      <xdr:col>0</xdr:col>
      <xdr:colOff>233746</xdr:colOff>
      <xdr:row>9</xdr:row>
      <xdr:rowOff>158750</xdr:rowOff>
    </xdr:from>
    <xdr:to>
      <xdr:col>7</xdr:col>
      <xdr:colOff>555624</xdr:colOff>
      <xdr:row>19</xdr:row>
      <xdr:rowOff>52917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82E0B1C-46A5-050E-BAF6-A5CE1FEE9DCA}"/>
            </a:ext>
          </a:extLst>
        </xdr:cNvPr>
        <xdr:cNvGrpSpPr/>
      </xdr:nvGrpSpPr>
      <xdr:grpSpPr>
        <a:xfrm>
          <a:off x="233746" y="1825625"/>
          <a:ext cx="5640003" cy="1746250"/>
          <a:chOff x="233747" y="1905000"/>
          <a:chExt cx="4084956" cy="174625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A2B4CEC-E8AF-AD2C-45D4-4BB08CFCF717}"/>
              </a:ext>
            </a:extLst>
          </xdr:cNvPr>
          <xdr:cNvSpPr/>
        </xdr:nvSpPr>
        <xdr:spPr>
          <a:xfrm>
            <a:off x="287408" y="1905000"/>
            <a:ext cx="4031295" cy="17462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1" cap="none" spc="0">
                <a:ln>
                  <a:noFill/>
                </a:ln>
                <a:solidFill>
                  <a:schemeClr val="accent4">
                    <a:lumMod val="50000"/>
                  </a:schemeClr>
                </a:solidFill>
                <a:effectLst/>
                <a:latin typeface="Bahnschrift" panose="020B0502040204020203" pitchFamily="34" charset="0"/>
              </a:rPr>
              <a:t>Revenue</a:t>
            </a: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83281D68-C8CD-F040-7588-94720AB04302}"/>
              </a:ext>
            </a:extLst>
          </xdr:cNvPr>
          <xdr:cNvSpPr txBox="1"/>
        </xdr:nvSpPr>
        <xdr:spPr>
          <a:xfrm>
            <a:off x="293118" y="1941781"/>
            <a:ext cx="4017065" cy="1709468"/>
          </a:xfrm>
          <a:prstGeom prst="rect">
            <a:avLst/>
          </a:prstGeom>
          <a:noFill/>
          <a:ln w="9525" cap="flat" cmpd="sng" algn="ctr">
            <a:solidFill>
              <a:schemeClr val="accent4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4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5400" b="1">
                <a:solidFill>
                  <a:schemeClr val="accent4">
                    <a:lumMod val="50000"/>
                  </a:schemeClr>
                </a:solidFill>
                <a:latin typeface="Bahnschrift" panose="020B0502040204020203" pitchFamily="34" charset="0"/>
              </a:rPr>
              <a:t>$</a:t>
            </a:r>
            <a:r>
              <a:rPr lang="en-US" sz="5400" b="1" u="none">
                <a:solidFill>
                  <a:schemeClr val="accent4">
                    <a:lumMod val="50000"/>
                  </a:schemeClr>
                </a:solidFill>
                <a:latin typeface="Bahnschrift" panose="020B0502040204020203" pitchFamily="34" charset="0"/>
              </a:rPr>
              <a:t>7640</a:t>
            </a: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A67D925E-988F-7A40-2B3A-BB24278E42C0}"/>
              </a:ext>
            </a:extLst>
          </xdr:cNvPr>
          <xdr:cNvSpPr txBox="1"/>
        </xdr:nvSpPr>
        <xdr:spPr>
          <a:xfrm>
            <a:off x="233747" y="3233647"/>
            <a:ext cx="4058479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US" sz="1800"/>
              <a:t>total revenue</a:t>
            </a:r>
          </a:p>
        </xdr:txBody>
      </xdr:sp>
    </xdr:grpSp>
    <xdr:clientData/>
  </xdr:twoCellAnchor>
  <xdr:twoCellAnchor>
    <xdr:from>
      <xdr:col>8</xdr:col>
      <xdr:colOff>237820</xdr:colOff>
      <xdr:row>10</xdr:row>
      <xdr:rowOff>40429</xdr:rowOff>
    </xdr:from>
    <xdr:to>
      <xdr:col>14</xdr:col>
      <xdr:colOff>549478</xdr:colOff>
      <xdr:row>19</xdr:row>
      <xdr:rowOff>83482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C312B06-92F7-EE10-2E10-8CBB0E076CB4}"/>
            </a:ext>
          </a:extLst>
        </xdr:cNvPr>
        <xdr:cNvGrpSpPr/>
      </xdr:nvGrpSpPr>
      <xdr:grpSpPr>
        <a:xfrm>
          <a:off x="6429070" y="1892512"/>
          <a:ext cx="5550408" cy="1709928"/>
          <a:chOff x="6931779" y="1654387"/>
          <a:chExt cx="5550408" cy="1709928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E959B23F-5156-654C-8BC4-C7FED78E226D}"/>
              </a:ext>
            </a:extLst>
          </xdr:cNvPr>
          <xdr:cNvGrpSpPr/>
        </xdr:nvGrpSpPr>
        <xdr:grpSpPr>
          <a:xfrm>
            <a:off x="6931779" y="1654387"/>
            <a:ext cx="5550408" cy="1709928"/>
            <a:chOff x="6773029" y="1918970"/>
            <a:chExt cx="5550408" cy="1709928"/>
          </a:xfrm>
        </xdr:grpSpPr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CFFC813C-AD9A-47C2-AC70-E20945F3D1D3}"/>
                </a:ext>
              </a:extLst>
            </xdr:cNvPr>
            <xdr:cNvSpPr/>
          </xdr:nvSpPr>
          <xdr:spPr>
            <a:xfrm>
              <a:off x="6773029" y="1918970"/>
              <a:ext cx="5550408" cy="1709928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softEdge rad="31750"/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000" b="1">
                  <a:solidFill>
                    <a:schemeClr val="accent6">
                      <a:lumMod val="75000"/>
                    </a:schemeClr>
                  </a:solidFill>
                  <a:latin typeface="Bahnschrift" panose="020B0502040204020203" pitchFamily="34" charset="0"/>
                </a:rPr>
                <a:t>Expenses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FEE934A-5170-42F8-ABA2-0A2024E50F40}"/>
                </a:ext>
              </a:extLst>
            </xdr:cNvPr>
            <xdr:cNvSpPr txBox="1"/>
          </xdr:nvSpPr>
          <xdr:spPr>
            <a:xfrm>
              <a:off x="6773333" y="1931458"/>
              <a:ext cx="5503334" cy="1661492"/>
            </a:xfrm>
            <a:prstGeom prst="rect">
              <a:avLst/>
            </a:prstGeom>
            <a:noFill/>
            <a:ln w="9525" cap="flat" cmpd="sng" algn="ctr">
              <a:solidFill>
                <a:schemeClr val="accent2"/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5400" b="1">
                  <a:solidFill>
                    <a:schemeClr val="accent6">
                      <a:lumMod val="75000"/>
                    </a:schemeClr>
                  </a:solidFill>
                  <a:latin typeface="Bahnschrift" panose="020B0502040204020203" pitchFamily="34" charset="0"/>
                </a:rPr>
                <a:t>$1240</a:t>
              </a:r>
            </a:p>
          </xdr:txBody>
        </xdr:sp>
      </xdr:grp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DE647469-04E8-4606-A729-56F2E572B635}"/>
              </a:ext>
            </a:extLst>
          </xdr:cNvPr>
          <xdr:cNvSpPr txBox="1"/>
        </xdr:nvSpPr>
        <xdr:spPr>
          <a:xfrm>
            <a:off x="7022883" y="2926103"/>
            <a:ext cx="5412534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US" sz="1800"/>
              <a:t>total expenses</a:t>
            </a:r>
          </a:p>
        </xdr:txBody>
      </xdr:sp>
    </xdr:grpSp>
    <xdr:clientData/>
  </xdr:twoCellAnchor>
  <xdr:twoCellAnchor>
    <xdr:from>
      <xdr:col>15</xdr:col>
      <xdr:colOff>296264</xdr:colOff>
      <xdr:row>9</xdr:row>
      <xdr:rowOff>169493</xdr:rowOff>
    </xdr:from>
    <xdr:to>
      <xdr:col>21</xdr:col>
      <xdr:colOff>607922</xdr:colOff>
      <xdr:row>19</xdr:row>
      <xdr:rowOff>27338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246E1DC-9A51-6A14-E33D-B5F99EB35730}"/>
            </a:ext>
          </a:extLst>
        </xdr:cNvPr>
        <xdr:cNvGrpSpPr/>
      </xdr:nvGrpSpPr>
      <xdr:grpSpPr>
        <a:xfrm>
          <a:off x="12599389" y="1836368"/>
          <a:ext cx="5550408" cy="1709928"/>
          <a:chOff x="13578348" y="1995119"/>
          <a:chExt cx="4076712" cy="1443567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686836C2-2569-41C2-B048-D65241412560}"/>
              </a:ext>
            </a:extLst>
          </xdr:cNvPr>
          <xdr:cNvSpPr/>
        </xdr:nvSpPr>
        <xdr:spPr>
          <a:xfrm>
            <a:off x="13578348" y="1995119"/>
            <a:ext cx="4060606" cy="1443567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1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Profit</a:t>
            </a:r>
          </a:p>
        </xdr:txBody>
      </xdr:sp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6A102FCD-DEB2-6CCB-86DB-C94AC9112943}"/>
              </a:ext>
            </a:extLst>
          </xdr:cNvPr>
          <xdr:cNvGrpSpPr/>
        </xdr:nvGrpSpPr>
        <xdr:grpSpPr>
          <a:xfrm>
            <a:off x="13596581" y="2018630"/>
            <a:ext cx="4058479" cy="1408044"/>
            <a:chOff x="13781789" y="1568839"/>
            <a:chExt cx="4058479" cy="1408044"/>
          </a:xfrm>
        </xdr:grpSpPr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AD417D1D-FBC3-49F8-9EF7-1A506266EB69}"/>
                </a:ext>
              </a:extLst>
            </xdr:cNvPr>
            <xdr:cNvSpPr txBox="1"/>
          </xdr:nvSpPr>
          <xdr:spPr>
            <a:xfrm>
              <a:off x="13790767" y="1568839"/>
              <a:ext cx="4042149" cy="1408044"/>
            </a:xfrm>
            <a:prstGeom prst="rect">
              <a:avLst/>
            </a:prstGeom>
            <a:noFill/>
            <a:ln w="9525" cap="flat" cmpd="sng" algn="ctr">
              <a:solidFill>
                <a:schemeClr val="accent3"/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5400" b="1">
                  <a:solidFill>
                    <a:schemeClr val="bg2">
                      <a:lumMod val="25000"/>
                    </a:schemeClr>
                  </a:solidFill>
                  <a:latin typeface="Bahnschrift" panose="020B0502040204020203" pitchFamily="34" charset="0"/>
                </a:rPr>
                <a:t>$6600</a:t>
              </a:r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4093689-D802-4419-89A7-8F4F0E793D61}"/>
                </a:ext>
              </a:extLst>
            </xdr:cNvPr>
            <xdr:cNvSpPr txBox="1"/>
          </xdr:nvSpPr>
          <xdr:spPr>
            <a:xfrm>
              <a:off x="13781789" y="2632642"/>
              <a:ext cx="4058479" cy="315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en-US" sz="1800"/>
                <a:t>net profit</a:t>
              </a:r>
            </a:p>
          </xdr:txBody>
        </xdr:sp>
      </xdr:grpSp>
    </xdr:grpSp>
    <xdr:clientData/>
  </xdr:twoCellAnchor>
  <xdr:twoCellAnchor editAs="oneCell">
    <xdr:from>
      <xdr:col>8</xdr:col>
      <xdr:colOff>714373</xdr:colOff>
      <xdr:row>39</xdr:row>
      <xdr:rowOff>26457</xdr:rowOff>
    </xdr:from>
    <xdr:to>
      <xdr:col>21</xdr:col>
      <xdr:colOff>634999</xdr:colOff>
      <xdr:row>62</xdr:row>
      <xdr:rowOff>79374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6F3B7A-F425-7BA9-52B0-CFDFB0B7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3" y="7249582"/>
          <a:ext cx="11271251" cy="431270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593700</xdr:colOff>
      <xdr:row>35</xdr:row>
      <xdr:rowOff>119382</xdr:rowOff>
    </xdr:from>
    <xdr:ext cx="4344327" cy="5071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3D138E4-0DE0-36D5-39A7-927EA7040910}"/>
            </a:ext>
          </a:extLst>
        </xdr:cNvPr>
        <xdr:cNvSpPr txBox="1"/>
      </xdr:nvSpPr>
      <xdr:spPr>
        <a:xfrm>
          <a:off x="6784950" y="6601674"/>
          <a:ext cx="4344327" cy="507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i="0" u="none" strike="noStrike" kern="1200" cap="all" spc="120" normalizeH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rPr>
            <a:t>📋</a:t>
          </a:r>
          <a:r>
            <a:rPr lang="en-US" sz="2400" baseline="0"/>
            <a:t> </a:t>
          </a:r>
          <a:r>
            <a:rPr lang="en-US" sz="2400" b="1" i="0" u="none" strike="noStrike" kern="1200" cap="all" spc="120" normalizeH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rPr>
            <a:t> Transaction summary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155974C3A06F0AE/Documents/bookkeeping_project.xlsx#BgEIDA4ADAMGBAcBBAQECw=46.0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moni" refreshedDate="46124.346926388891" backgroundQuery="1" createdVersion="8" refreshedVersion="8" minRefreshableVersion="3" recordCount="0" supportSubquery="1" supportAdvancedDrill="1" xr:uid="{28F4FF34-05DC-480B-A028-BC1726B2F2C8}">
  <cacheSource type="external" connectionId="1"/>
  <cacheFields count="2">
    <cacheField name="[Range].[Category].[Category]" caption="Category" numFmtId="0" level="1">
      <sharedItems count="5">
        <s v="Marketing"/>
        <s v="Software"/>
        <s v="Supplies"/>
        <s v="Transportation"/>
        <s v="Utilities"/>
      </sharedItems>
    </cacheField>
    <cacheField name="[Measures].[Sum of Amount]" caption="Sum of Amount" numFmtId="0" hierarchy="5" level="32767"/>
  </cacheFields>
  <cacheHierarchies count="6"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ype]" caption="Type" attribute="1" defaultMemberUniqueName="[Range].[Type].[All]" allUniqueName="[Range].[Type].[All]" dimensionUniqueName="[Range]" displayFolder="" count="2" memberValueDatatype="130" unbalanced="0"/>
    <cacheHierarchy uniqueName="[Range].[Amount]" caption="Amount" attribute="1" defaultMemberUniqueName="[Range].[Amount].[All]" allUniqueName="[Range].[Amount].[All]" dimensionUniqueName="[Range]" displayFolder="" count="2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oni" refreshedDate="46124.365980439812" createdVersion="8" refreshedVersion="8" minRefreshableVersion="3" recordCount="21" xr:uid="{05C448D1-E573-4021-8012-B126C9807F2D}">
  <cacheSource type="worksheet">
    <worksheetSource ref="A1:E1048576" sheet="Transactions" r:id="rId2"/>
  </cacheSource>
  <cacheFields count="5">
    <cacheField name="Date" numFmtId="0">
      <sharedItems containsBlank="1" count="21">
        <s v="4/1"/>
        <s v="4/2"/>
        <s v="4/3"/>
        <s v="4/4"/>
        <s v="4/5"/>
        <s v="4/6"/>
        <s v="4/7"/>
        <s v="4/8"/>
        <s v="4/9"/>
        <s v="4/10"/>
        <s v="4/11"/>
        <s v="4/12"/>
        <s v="4/13"/>
        <s v="4/14"/>
        <s v="4/15"/>
        <s v="4/16"/>
        <s v="4/17"/>
        <s v="4/18"/>
        <s v="4/19"/>
        <s v="4/20"/>
        <m/>
      </sharedItems>
    </cacheField>
    <cacheField name="Description" numFmtId="0">
      <sharedItems containsBlank="1" count="10">
        <s v="Client Payment"/>
        <s v="Cleaning Supplies"/>
        <s v="Gas"/>
        <s v="Facebook Ads"/>
        <s v="Equipment Purchase"/>
        <s v="Phone Bill"/>
        <s v="Website Subscription"/>
        <s v="Instagram Ads"/>
        <s v="Equipment Repair"/>
        <m/>
      </sharedItems>
    </cacheField>
    <cacheField name="Category" numFmtId="0">
      <sharedItems containsBlank="1" count="7">
        <s v="Revenue"/>
        <s v="Supplies"/>
        <s v="Transportation"/>
        <s v="Marketing"/>
        <s v="Utilities"/>
        <s v="Software"/>
        <m/>
      </sharedItems>
    </cacheField>
    <cacheField name="Type" numFmtId="0">
      <sharedItems containsBlank="1" count="3">
        <s v="Income"/>
        <s v="Expense"/>
        <m/>
      </sharedItems>
    </cacheField>
    <cacheField name="Amount" numFmtId="0">
      <sharedItems containsString="0" containsBlank="1" containsNumber="1" containsInteger="1" minValue="40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n v="800"/>
  </r>
  <r>
    <x v="1"/>
    <x v="1"/>
    <x v="1"/>
    <x v="1"/>
    <n v="120"/>
  </r>
  <r>
    <x v="2"/>
    <x v="2"/>
    <x v="2"/>
    <x v="1"/>
    <n v="60"/>
  </r>
  <r>
    <x v="3"/>
    <x v="0"/>
    <x v="0"/>
    <x v="0"/>
    <n v="600"/>
  </r>
  <r>
    <x v="4"/>
    <x v="3"/>
    <x v="3"/>
    <x v="1"/>
    <n v="150"/>
  </r>
  <r>
    <x v="5"/>
    <x v="0"/>
    <x v="0"/>
    <x v="0"/>
    <n v="950"/>
  </r>
  <r>
    <x v="6"/>
    <x v="4"/>
    <x v="1"/>
    <x v="1"/>
    <n v="300"/>
  </r>
  <r>
    <x v="7"/>
    <x v="0"/>
    <x v="0"/>
    <x v="0"/>
    <n v="700"/>
  </r>
  <r>
    <x v="8"/>
    <x v="5"/>
    <x v="4"/>
    <x v="1"/>
    <n v="80"/>
  </r>
  <r>
    <x v="9"/>
    <x v="0"/>
    <x v="0"/>
    <x v="0"/>
    <n v="500"/>
  </r>
  <r>
    <x v="10"/>
    <x v="6"/>
    <x v="5"/>
    <x v="1"/>
    <n v="40"/>
  </r>
  <r>
    <x v="11"/>
    <x v="0"/>
    <x v="0"/>
    <x v="0"/>
    <n v="1100"/>
  </r>
  <r>
    <x v="12"/>
    <x v="1"/>
    <x v="1"/>
    <x v="1"/>
    <n v="90"/>
  </r>
  <r>
    <x v="13"/>
    <x v="0"/>
    <x v="0"/>
    <x v="0"/>
    <n v="750"/>
  </r>
  <r>
    <x v="14"/>
    <x v="2"/>
    <x v="2"/>
    <x v="1"/>
    <n v="70"/>
  </r>
  <r>
    <x v="15"/>
    <x v="0"/>
    <x v="0"/>
    <x v="0"/>
    <n v="850"/>
  </r>
  <r>
    <x v="16"/>
    <x v="7"/>
    <x v="3"/>
    <x v="1"/>
    <n v="130"/>
  </r>
  <r>
    <x v="17"/>
    <x v="0"/>
    <x v="0"/>
    <x v="0"/>
    <n v="920"/>
  </r>
  <r>
    <x v="18"/>
    <x v="8"/>
    <x v="1"/>
    <x v="1"/>
    <n v="200"/>
  </r>
  <r>
    <x v="19"/>
    <x v="0"/>
    <x v="0"/>
    <x v="0"/>
    <n v="670"/>
  </r>
  <r>
    <x v="20"/>
    <x v="9"/>
    <x v="6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73C3B-2264-41DC-A281-1C3365DD89A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G21:H32" firstHeaderRow="1" firstDataRow="1" firstDataCol="1" rowPageCount="1" colPageCount="1"/>
  <pivotFields count="5">
    <pivotField axis="axisRow" showAll="0">
      <items count="2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x="20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3"/>
    </i>
    <i>
      <x v="5"/>
    </i>
    <i>
      <x v="7"/>
    </i>
    <i>
      <x v="9"/>
    </i>
    <i>
      <x v="12"/>
    </i>
    <i>
      <x v="14"/>
    </i>
    <i>
      <x v="16"/>
    </i>
    <i>
      <x v="18"/>
    </i>
    <i t="grand">
      <x/>
    </i>
  </rowItems>
  <colItems count="1">
    <i/>
  </colItems>
  <pageFields count="1">
    <pageField fld="3" hier="-1"/>
  </pageFields>
  <dataFields count="1">
    <dataField name="Sum of Amount" fld="4" baseField="0" baseItem="0"/>
  </dataFields>
  <chartFormats count="3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Table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585F6-00CE-4336-9B80-A08BD0BB19FB}" name="PivotTable4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4">
  <location ref="J10:K16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chartFormats count="6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TableStyleLight8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C:$E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2E3C0-695D-4BA8-ABC2-07D75DD84C77}" name="Table1" displayName="Table1" ref="A1:E21" totalsRowShown="0">
  <autoFilter ref="A1:E21" xr:uid="{7072E3C0-695D-4BA8-ABC2-07D75DD84C7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21B2150-F8B6-4843-B7F4-8F541737608A}" name="Date"/>
    <tableColumn id="2" xr3:uid="{EDF7AB52-1244-4343-9435-A5470D2507EA}" name="Description"/>
    <tableColumn id="3" xr3:uid="{0CB301D0-5DD2-4FC8-BAA7-A66689F2D8CB}" name="Category"/>
    <tableColumn id="4" xr3:uid="{C177DB54-4805-468E-9435-7DBB82127740}" name="Type"/>
    <tableColumn id="5" xr3:uid="{CD0B0747-85CB-414E-BE84-EE815192B540}" name="Amou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F12AF-B11F-46E7-9202-59170B7152A3}" name="Table2" displayName="Table2" ref="B4:F14" totalsRowShown="0" headerRowDxfId="8" dataDxfId="6" headerRowBorderDxfId="7" tableBorderDxfId="5">
  <autoFilter ref="B4:F14" xr:uid="{15AF12AF-B11F-46E7-9202-59170B7152A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2C16E3C-2F50-4028-8EBB-440EC4A46560}" name="Date" dataDxfId="4"/>
    <tableColumn id="2" xr3:uid="{B7D199EE-1B98-4DBF-9A5A-90CE6DD42D17}" name="Description" dataDxfId="3"/>
    <tableColumn id="3" xr3:uid="{B909A314-7E58-4D52-A886-6081E14F5125}" name="Category" dataDxfId="2"/>
    <tableColumn id="4" xr3:uid="{1DF65E54-5200-45BD-BF86-C857CA428279}" name="Type" dataDxfId="1"/>
    <tableColumn id="5" xr3:uid="{76926FB4-A7B8-4C8F-988C-D3621FE36DD6}" name="Amoun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F172A"/>
      </a:dk1>
      <a:lt1>
        <a:sysClr val="window" lastClr="FFFFFF"/>
      </a:lt1>
      <a:dk2>
        <a:srgbClr val="17406D"/>
      </a:dk2>
      <a:lt2>
        <a:srgbClr val="F8FAFC"/>
      </a:lt2>
      <a:accent1>
        <a:srgbClr val="7C3AED"/>
      </a:accent1>
      <a:accent2>
        <a:srgbClr val="EC4899"/>
      </a:accent2>
      <a:accent3>
        <a:srgbClr val="06B6D4"/>
      </a:accent3>
      <a:accent4>
        <a:srgbClr val="22C55E"/>
      </a:accent4>
      <a:accent5>
        <a:srgbClr val="F59E0B"/>
      </a:accent5>
      <a:accent6>
        <a:srgbClr val="EF4444"/>
      </a:accent6>
      <a:hlink>
        <a:srgbClr val="3B82F6"/>
      </a:hlink>
      <a:folHlink>
        <a:srgbClr val="6366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F7" sqref="F7"/>
    </sheetView>
  </sheetViews>
  <sheetFormatPr defaultRowHeight="15" x14ac:dyDescent="0.25"/>
  <cols>
    <col min="1" max="1" width="7.42578125" bestFit="1" customWidth="1"/>
    <col min="2" max="2" width="20.140625" bestFit="1" customWidth="1"/>
    <col min="3" max="3" width="14.140625" bestFit="1" customWidth="1"/>
    <col min="4" max="4" width="8.42578125" bestFit="1" customWidth="1"/>
    <col min="5" max="5" width="10.42578125" bestFit="1" customWidth="1"/>
    <col min="7" max="7" width="13.140625" bestFit="1" customWidth="1"/>
    <col min="8" max="8" width="14.85546875" bestFit="1" customWidth="1"/>
    <col min="9" max="9" width="14.28515625" bestFit="1" customWidth="1"/>
    <col min="10" max="11" width="14.140625" bestFit="1" customWidth="1"/>
    <col min="12" max="12" width="7.140625" bestFit="1" customWidth="1"/>
    <col min="13" max="22" width="4.85546875" bestFit="1" customWidth="1"/>
    <col min="23" max="23" width="3.85546875" bestFit="1" customWidth="1"/>
    <col min="24" max="24" width="4.85546875" bestFit="1" customWidth="1"/>
    <col min="25" max="31" width="3.85546875" bestFit="1" customWidth="1"/>
    <col min="32" max="32" width="7.28515625" bestFit="1" customWidth="1"/>
    <col min="33" max="33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42</v>
      </c>
      <c r="J1">
        <f>SUMIF(D:D,"Income",E:E)</f>
        <v>7840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>
        <v>800</v>
      </c>
      <c r="I2" t="s">
        <v>43</v>
      </c>
      <c r="J2">
        <f>SUMIF(D:D,"Expense",E:E)</f>
        <v>1240</v>
      </c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>
        <v>120</v>
      </c>
      <c r="I3" t="s">
        <v>44</v>
      </c>
      <c r="J3">
        <f>7840-1240</f>
        <v>6600</v>
      </c>
    </row>
    <row r="4" spans="1:11" x14ac:dyDescent="0.25">
      <c r="A4" t="s">
        <v>13</v>
      </c>
      <c r="B4" t="s">
        <v>14</v>
      </c>
      <c r="C4" t="s">
        <v>15</v>
      </c>
      <c r="D4" t="s">
        <v>12</v>
      </c>
      <c r="E4">
        <v>60</v>
      </c>
    </row>
    <row r="5" spans="1:11" x14ac:dyDescent="0.25">
      <c r="A5" t="s">
        <v>16</v>
      </c>
      <c r="B5" t="s">
        <v>6</v>
      </c>
      <c r="C5" t="s">
        <v>7</v>
      </c>
      <c r="D5" t="s">
        <v>8</v>
      </c>
      <c r="E5">
        <v>600</v>
      </c>
    </row>
    <row r="6" spans="1:11" x14ac:dyDescent="0.25">
      <c r="A6" t="s">
        <v>17</v>
      </c>
      <c r="B6" t="s">
        <v>18</v>
      </c>
      <c r="C6" t="s">
        <v>19</v>
      </c>
      <c r="D6" t="s">
        <v>12</v>
      </c>
      <c r="E6">
        <v>150</v>
      </c>
    </row>
    <row r="7" spans="1:11" x14ac:dyDescent="0.25">
      <c r="A7" t="s">
        <v>20</v>
      </c>
      <c r="B7" t="s">
        <v>6</v>
      </c>
      <c r="C7" t="s">
        <v>7</v>
      </c>
      <c r="D7" t="s">
        <v>8</v>
      </c>
      <c r="E7">
        <v>950</v>
      </c>
    </row>
    <row r="8" spans="1:11" x14ac:dyDescent="0.25">
      <c r="A8" t="s">
        <v>21</v>
      </c>
      <c r="B8" t="s">
        <v>22</v>
      </c>
      <c r="C8" t="s">
        <v>11</v>
      </c>
      <c r="D8" t="s">
        <v>12</v>
      </c>
      <c r="E8">
        <v>300</v>
      </c>
    </row>
    <row r="9" spans="1:11" x14ac:dyDescent="0.25">
      <c r="A9" t="s">
        <v>23</v>
      </c>
      <c r="B9" t="s">
        <v>6</v>
      </c>
      <c r="C9" t="s">
        <v>7</v>
      </c>
      <c r="D9" t="s">
        <v>8</v>
      </c>
      <c r="E9">
        <v>700</v>
      </c>
    </row>
    <row r="10" spans="1:11" x14ac:dyDescent="0.25">
      <c r="A10" t="s">
        <v>24</v>
      </c>
      <c r="B10" t="s">
        <v>25</v>
      </c>
      <c r="C10" t="s">
        <v>26</v>
      </c>
      <c r="D10" t="s">
        <v>12</v>
      </c>
      <c r="E10">
        <v>80</v>
      </c>
      <c r="J10" s="1" t="s">
        <v>45</v>
      </c>
      <c r="K10" t="s">
        <v>47</v>
      </c>
    </row>
    <row r="11" spans="1:11" x14ac:dyDescent="0.25">
      <c r="A11" t="s">
        <v>27</v>
      </c>
      <c r="B11" t="s">
        <v>6</v>
      </c>
      <c r="C11" t="s">
        <v>7</v>
      </c>
      <c r="D11" t="s">
        <v>8</v>
      </c>
      <c r="E11">
        <v>500</v>
      </c>
      <c r="J11" s="2" t="s">
        <v>19</v>
      </c>
      <c r="K11">
        <v>280</v>
      </c>
    </row>
    <row r="12" spans="1:11" x14ac:dyDescent="0.25">
      <c r="A12" t="s">
        <v>28</v>
      </c>
      <c r="B12" t="s">
        <v>29</v>
      </c>
      <c r="C12" t="s">
        <v>30</v>
      </c>
      <c r="D12" t="s">
        <v>12</v>
      </c>
      <c r="E12">
        <v>40</v>
      </c>
      <c r="J12" s="2" t="s">
        <v>30</v>
      </c>
      <c r="K12">
        <v>40</v>
      </c>
    </row>
    <row r="13" spans="1:11" x14ac:dyDescent="0.25">
      <c r="A13" t="s">
        <v>31</v>
      </c>
      <c r="B13" t="s">
        <v>6</v>
      </c>
      <c r="C13" t="s">
        <v>7</v>
      </c>
      <c r="D13" t="s">
        <v>8</v>
      </c>
      <c r="E13">
        <v>1100</v>
      </c>
      <c r="J13" s="2" t="s">
        <v>11</v>
      </c>
      <c r="K13">
        <v>710</v>
      </c>
    </row>
    <row r="14" spans="1:11" x14ac:dyDescent="0.25">
      <c r="A14" t="s">
        <v>32</v>
      </c>
      <c r="B14" t="s">
        <v>10</v>
      </c>
      <c r="C14" t="s">
        <v>11</v>
      </c>
      <c r="D14" t="s">
        <v>12</v>
      </c>
      <c r="E14">
        <v>90</v>
      </c>
      <c r="J14" s="2" t="s">
        <v>15</v>
      </c>
      <c r="K14">
        <v>130</v>
      </c>
    </row>
    <row r="15" spans="1:11" x14ac:dyDescent="0.25">
      <c r="A15" t="s">
        <v>33</v>
      </c>
      <c r="B15" t="s">
        <v>6</v>
      </c>
      <c r="C15" t="s">
        <v>7</v>
      </c>
      <c r="D15" t="s">
        <v>8</v>
      </c>
      <c r="E15">
        <v>750</v>
      </c>
      <c r="J15" s="2" t="s">
        <v>26</v>
      </c>
      <c r="K15">
        <v>80</v>
      </c>
    </row>
    <row r="16" spans="1:11" x14ac:dyDescent="0.25">
      <c r="A16" t="s">
        <v>34</v>
      </c>
      <c r="B16" t="s">
        <v>14</v>
      </c>
      <c r="C16" t="s">
        <v>15</v>
      </c>
      <c r="D16" t="s">
        <v>12</v>
      </c>
      <c r="E16">
        <v>70</v>
      </c>
      <c r="J16" s="2" t="s">
        <v>46</v>
      </c>
      <c r="K16">
        <v>1240</v>
      </c>
    </row>
    <row r="17" spans="1:8" x14ac:dyDescent="0.25">
      <c r="A17" t="s">
        <v>35</v>
      </c>
      <c r="B17" t="s">
        <v>6</v>
      </c>
      <c r="C17" t="s">
        <v>7</v>
      </c>
      <c r="D17" t="s">
        <v>8</v>
      </c>
      <c r="E17">
        <v>850</v>
      </c>
    </row>
    <row r="18" spans="1:8" x14ac:dyDescent="0.25">
      <c r="A18" t="s">
        <v>36</v>
      </c>
      <c r="B18" t="s">
        <v>37</v>
      </c>
      <c r="C18" t="s">
        <v>19</v>
      </c>
      <c r="D18" t="s">
        <v>12</v>
      </c>
      <c r="E18">
        <v>130</v>
      </c>
    </row>
    <row r="19" spans="1:8" x14ac:dyDescent="0.25">
      <c r="A19" t="s">
        <v>38</v>
      </c>
      <c r="B19" t="s">
        <v>6</v>
      </c>
      <c r="C19" t="s">
        <v>7</v>
      </c>
      <c r="D19" t="s">
        <v>8</v>
      </c>
      <c r="E19">
        <v>920</v>
      </c>
      <c r="G19" s="1" t="s">
        <v>3</v>
      </c>
      <c r="H19" t="s">
        <v>8</v>
      </c>
    </row>
    <row r="20" spans="1:8" x14ac:dyDescent="0.25">
      <c r="A20" t="s">
        <v>39</v>
      </c>
      <c r="B20" t="s">
        <v>40</v>
      </c>
      <c r="C20" t="s">
        <v>11</v>
      </c>
      <c r="D20" t="s">
        <v>12</v>
      </c>
      <c r="E20">
        <v>200</v>
      </c>
    </row>
    <row r="21" spans="1:8" x14ac:dyDescent="0.25">
      <c r="A21" t="s">
        <v>41</v>
      </c>
      <c r="B21" t="s">
        <v>6</v>
      </c>
      <c r="C21" t="s">
        <v>7</v>
      </c>
      <c r="D21" t="s">
        <v>8</v>
      </c>
      <c r="E21">
        <v>670</v>
      </c>
      <c r="G21" s="1" t="s">
        <v>45</v>
      </c>
      <c r="H21" t="s">
        <v>47</v>
      </c>
    </row>
    <row r="22" spans="1:8" x14ac:dyDescent="0.25">
      <c r="G22" s="2" t="s">
        <v>5</v>
      </c>
      <c r="H22">
        <v>800</v>
      </c>
    </row>
    <row r="23" spans="1:8" x14ac:dyDescent="0.25">
      <c r="G23" s="2" t="s">
        <v>27</v>
      </c>
      <c r="H23">
        <v>500</v>
      </c>
    </row>
    <row r="24" spans="1:8" x14ac:dyDescent="0.25">
      <c r="G24" s="2" t="s">
        <v>31</v>
      </c>
      <c r="H24">
        <v>1100</v>
      </c>
    </row>
    <row r="25" spans="1:8" x14ac:dyDescent="0.25">
      <c r="G25" s="2" t="s">
        <v>33</v>
      </c>
      <c r="H25">
        <v>750</v>
      </c>
    </row>
    <row r="26" spans="1:8" x14ac:dyDescent="0.25">
      <c r="G26" s="2" t="s">
        <v>35</v>
      </c>
      <c r="H26">
        <v>850</v>
      </c>
    </row>
    <row r="27" spans="1:8" x14ac:dyDescent="0.25">
      <c r="G27" s="2" t="s">
        <v>38</v>
      </c>
      <c r="H27">
        <v>920</v>
      </c>
    </row>
    <row r="28" spans="1:8" x14ac:dyDescent="0.25">
      <c r="G28" s="2" t="s">
        <v>41</v>
      </c>
      <c r="H28">
        <v>670</v>
      </c>
    </row>
    <row r="29" spans="1:8" x14ac:dyDescent="0.25">
      <c r="G29" s="2" t="s">
        <v>16</v>
      </c>
      <c r="H29">
        <v>600</v>
      </c>
    </row>
    <row r="30" spans="1:8" x14ac:dyDescent="0.25">
      <c r="G30" s="2" t="s">
        <v>20</v>
      </c>
      <c r="H30">
        <v>950</v>
      </c>
    </row>
    <row r="31" spans="1:8" x14ac:dyDescent="0.25">
      <c r="G31" s="2" t="s">
        <v>23</v>
      </c>
      <c r="H31">
        <v>700</v>
      </c>
    </row>
    <row r="32" spans="1:8" x14ac:dyDescent="0.25">
      <c r="G32" s="2" t="s">
        <v>46</v>
      </c>
      <c r="H32">
        <v>7840</v>
      </c>
    </row>
  </sheetData>
  <pageMargins left="0.75" right="0.75" top="1" bottom="1" header="0.5" footer="0.5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5404-5EF9-41AA-A16B-3D545D0203BC}">
  <dimension ref="D10:U23"/>
  <sheetViews>
    <sheetView zoomScale="36" zoomScaleNormal="36" workbookViewId="0">
      <selection activeCell="Z36" sqref="Z36"/>
    </sheetView>
  </sheetViews>
  <sheetFormatPr defaultRowHeight="15" x14ac:dyDescent="0.25"/>
  <cols>
    <col min="4" max="23" width="13.28515625" customWidth="1"/>
  </cols>
  <sheetData>
    <row r="10" spans="4:4" x14ac:dyDescent="0.25">
      <c r="D10" t="e" vm="1">
        <v>#VALUE!</v>
      </c>
    </row>
    <row r="19" spans="4:21" x14ac:dyDescent="0.25">
      <c r="D19" s="3"/>
      <c r="U19" s="4"/>
    </row>
    <row r="23" spans="4:21" x14ac:dyDescent="0.25">
      <c r="M23" t="s">
        <v>48</v>
      </c>
      <c r="S23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6B68-3D86-4201-88D8-BFA1E7C69F67}">
  <dimension ref="B2:F14"/>
  <sheetViews>
    <sheetView zoomScale="64" zoomScaleNormal="64" workbookViewId="0">
      <selection activeCell="B4" sqref="B4:F14"/>
    </sheetView>
  </sheetViews>
  <sheetFormatPr defaultRowHeight="15" x14ac:dyDescent="0.25"/>
  <cols>
    <col min="1" max="1" width="18.42578125" customWidth="1"/>
    <col min="2" max="2" width="23.7109375" customWidth="1"/>
    <col min="3" max="3" width="33.28515625" customWidth="1"/>
    <col min="4" max="6" width="23.7109375" customWidth="1"/>
  </cols>
  <sheetData>
    <row r="2" spans="2:6" ht="18.75" x14ac:dyDescent="0.3">
      <c r="C2" s="6" t="s">
        <v>49</v>
      </c>
    </row>
    <row r="4" spans="2:6" ht="24.95" customHeight="1" x14ac:dyDescent="0.25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</row>
    <row r="5" spans="2:6" ht="24.95" customHeight="1" x14ac:dyDescent="0.25">
      <c r="B5" s="8">
        <v>46123</v>
      </c>
      <c r="C5" s="9" t="s">
        <v>29</v>
      </c>
      <c r="D5" s="9" t="s">
        <v>30</v>
      </c>
      <c r="E5" s="9" t="s">
        <v>12</v>
      </c>
      <c r="F5" s="10">
        <v>40</v>
      </c>
    </row>
    <row r="6" spans="2:6" ht="24.95" customHeight="1" x14ac:dyDescent="0.25">
      <c r="B6" s="11">
        <v>46124</v>
      </c>
      <c r="C6" s="12" t="s">
        <v>6</v>
      </c>
      <c r="D6" s="12" t="s">
        <v>7</v>
      </c>
      <c r="E6" s="12" t="s">
        <v>8</v>
      </c>
      <c r="F6" s="13">
        <v>1100</v>
      </c>
    </row>
    <row r="7" spans="2:6" ht="24.95" customHeight="1" x14ac:dyDescent="0.25">
      <c r="B7" s="8">
        <v>46125</v>
      </c>
      <c r="C7" s="9" t="s">
        <v>10</v>
      </c>
      <c r="D7" s="9" t="s">
        <v>11</v>
      </c>
      <c r="E7" s="9" t="s">
        <v>12</v>
      </c>
      <c r="F7" s="10">
        <v>90</v>
      </c>
    </row>
    <row r="8" spans="2:6" ht="24.95" customHeight="1" x14ac:dyDescent="0.25">
      <c r="B8" s="11">
        <v>46126</v>
      </c>
      <c r="C8" s="12" t="s">
        <v>6</v>
      </c>
      <c r="D8" s="12" t="s">
        <v>7</v>
      </c>
      <c r="E8" s="12" t="s">
        <v>8</v>
      </c>
      <c r="F8" s="13">
        <v>750</v>
      </c>
    </row>
    <row r="9" spans="2:6" ht="24.95" customHeight="1" x14ac:dyDescent="0.25">
      <c r="B9" s="8">
        <v>46127</v>
      </c>
      <c r="C9" s="9" t="s">
        <v>14</v>
      </c>
      <c r="D9" s="9" t="s">
        <v>15</v>
      </c>
      <c r="E9" s="9" t="s">
        <v>12</v>
      </c>
      <c r="F9" s="10">
        <v>70</v>
      </c>
    </row>
    <row r="10" spans="2:6" ht="24.95" customHeight="1" x14ac:dyDescent="0.25">
      <c r="B10" s="11">
        <v>46128</v>
      </c>
      <c r="C10" s="12" t="s">
        <v>6</v>
      </c>
      <c r="D10" s="12" t="s">
        <v>7</v>
      </c>
      <c r="E10" s="12" t="s">
        <v>8</v>
      </c>
      <c r="F10" s="13">
        <v>850</v>
      </c>
    </row>
    <row r="11" spans="2:6" ht="24.95" customHeight="1" x14ac:dyDescent="0.25">
      <c r="B11" s="8">
        <v>46129</v>
      </c>
      <c r="C11" s="9" t="s">
        <v>37</v>
      </c>
      <c r="D11" s="9" t="s">
        <v>19</v>
      </c>
      <c r="E11" s="9" t="s">
        <v>12</v>
      </c>
      <c r="F11" s="10">
        <v>130</v>
      </c>
    </row>
    <row r="12" spans="2:6" ht="24.95" customHeight="1" x14ac:dyDescent="0.25">
      <c r="B12" s="11">
        <v>46130</v>
      </c>
      <c r="C12" s="12" t="s">
        <v>6</v>
      </c>
      <c r="D12" s="12" t="s">
        <v>7</v>
      </c>
      <c r="E12" s="12" t="s">
        <v>8</v>
      </c>
      <c r="F12" s="13">
        <v>920</v>
      </c>
    </row>
    <row r="13" spans="2:6" ht="24.95" customHeight="1" x14ac:dyDescent="0.25">
      <c r="B13" s="8">
        <v>46131</v>
      </c>
      <c r="C13" s="9" t="s">
        <v>40</v>
      </c>
      <c r="D13" s="9" t="s">
        <v>11</v>
      </c>
      <c r="E13" s="9" t="s">
        <v>12</v>
      </c>
      <c r="F13" s="10">
        <v>200</v>
      </c>
    </row>
    <row r="14" spans="2:6" ht="24.95" customHeight="1" x14ac:dyDescent="0.25">
      <c r="B14" s="11">
        <v>46132</v>
      </c>
      <c r="C14" s="12" t="s">
        <v>6</v>
      </c>
      <c r="D14" s="12" t="s">
        <v>7</v>
      </c>
      <c r="E14" s="12" t="s">
        <v>8</v>
      </c>
      <c r="F14" s="13">
        <v>670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Dashboard</vt:lpstr>
      <vt:lpstr>Transaction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Kimoni Knox</cp:lastModifiedBy>
  <dcterms:created xsi:type="dcterms:W3CDTF">2026-04-11T16:05:01Z</dcterms:created>
  <dcterms:modified xsi:type="dcterms:W3CDTF">2026-04-14T09:43:12Z</dcterms:modified>
</cp:coreProperties>
</file>